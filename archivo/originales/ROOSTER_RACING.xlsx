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E70" i="1"/>
  <c r="C70" i="1"/>
  <c r="C69" i="1"/>
  <c r="E69" i="1" s="1"/>
  <c r="A64" i="1"/>
  <c r="C60" i="1"/>
  <c r="C59" i="1"/>
  <c r="C58" i="1"/>
  <c r="A58" i="1"/>
  <c r="G23" i="1"/>
  <c r="D23" i="1"/>
  <c r="F23" i="1" s="1"/>
  <c r="C23" i="1"/>
  <c r="G22" i="1"/>
  <c r="F22" i="1"/>
  <c r="E22" i="1"/>
  <c r="C22" i="1"/>
  <c r="A22" i="1"/>
  <c r="B22" i="1" s="1"/>
  <c r="D21" i="1"/>
  <c r="F21" i="1" s="1"/>
  <c r="A21" i="1"/>
  <c r="A23" i="1" s="1"/>
  <c r="B23" i="1" s="1"/>
  <c r="A15" i="1"/>
  <c r="K14" i="1"/>
  <c r="J14" i="1"/>
  <c r="I14" i="1"/>
  <c r="H14" i="1"/>
  <c r="G14" i="1"/>
  <c r="F14" i="1"/>
  <c r="E14" i="1"/>
  <c r="D14" i="1"/>
  <c r="J13" i="1"/>
  <c r="F13" i="1"/>
  <c r="J4" i="1"/>
  <c r="F4" i="1"/>
  <c r="J3" i="1"/>
  <c r="J5" i="1" s="1"/>
  <c r="I3" i="1"/>
  <c r="I5" i="1" s="1"/>
  <c r="F3" i="1"/>
  <c r="F5" i="1" s="1"/>
  <c r="C3" i="1"/>
  <c r="E3" i="1" s="1"/>
  <c r="J2" i="1"/>
  <c r="F2" i="1"/>
  <c r="K3" i="1" l="1"/>
  <c r="J7" i="1"/>
  <c r="G3" i="1"/>
  <c r="D3" i="1"/>
  <c r="E5" i="1"/>
  <c r="F7" i="1" s="1"/>
  <c r="E21" i="1"/>
  <c r="H3" i="1"/>
  <c r="C8" i="1"/>
  <c r="C71" i="1" s="1"/>
  <c r="E71" i="1" s="1"/>
  <c r="G21" i="1" l="1"/>
  <c r="B21" i="1"/>
</calcChain>
</file>

<file path=xl/sharedStrings.xml><?xml version="1.0" encoding="utf-8"?>
<sst xmlns="http://schemas.openxmlformats.org/spreadsheetml/2006/main" count="76" uniqueCount="45">
  <si>
    <t>SPEED 1=KM, 0=MIL</t>
  </si>
  <si>
    <t>DA</t>
  </si>
  <si>
    <t>SEA LEVEL</t>
  </si>
  <si>
    <t>RACETRACK</t>
  </si>
  <si>
    <t>ELEVATION</t>
  </si>
  <si>
    <t>WEIGHT</t>
  </si>
  <si>
    <t>HP</t>
  </si>
  <si>
    <t>60 FT</t>
  </si>
  <si>
    <t>1/4 ET</t>
  </si>
  <si>
    <t>¼ WHP</t>
  </si>
  <si>
    <t>EL CHARCO</t>
  </si>
  <si>
    <t>VILLA</t>
  </si>
  <si>
    <t>1/8 ET</t>
  </si>
  <si>
    <t>CHIHUAHUA</t>
  </si>
  <si>
    <t>TEMP</t>
  </si>
  <si>
    <t>NITROUS SHOT</t>
  </si>
  <si>
    <t>CALDERA</t>
  </si>
  <si>
    <t>0-60</t>
  </si>
  <si>
    <t>MONTERREY</t>
  </si>
  <si>
    <t>ALTITUDE</t>
  </si>
  <si>
    <t>ET</t>
  </si>
  <si>
    <t>TURBO</t>
  </si>
  <si>
    <t>WEIGHT LBS</t>
  </si>
  <si>
    <t>FHP</t>
  </si>
  <si>
    <t>1/4WHP</t>
  </si>
  <si>
    <t>WEIGHT KGS</t>
  </si>
  <si>
    <t>BOOST LBS</t>
  </si>
  <si>
    <t>FLWHP</t>
  </si>
  <si>
    <t>1/8 MPH</t>
  </si>
  <si>
    <t>1/4 MPH</t>
  </si>
  <si>
    <t>B4+(B4/14.696*A12)</t>
  </si>
  <si>
    <t>B4+(B4*(A12/14.696)</t>
  </si>
  <si>
    <t>100x8/14.696</t>
  </si>
  <si>
    <t>hp/ap=hp/lb</t>
  </si>
  <si>
    <t>100hp/10ap = 10hp per lb</t>
  </si>
  <si>
    <t>lbs</t>
  </si>
  <si>
    <t>AP</t>
  </si>
  <si>
    <t>hp/lbs</t>
  </si>
  <si>
    <t>sea level</t>
  </si>
  <si>
    <t>mtrry</t>
  </si>
  <si>
    <t>chihuas</t>
  </si>
  <si>
    <t>1/4 Km/H</t>
  </si>
  <si>
    <t>FEET</t>
  </si>
  <si>
    <t>PSI</t>
  </si>
  <si>
    <t>1/8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</si>
</sst>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"/>
    <numFmt numFmtId="165" formatCode="0.00000000000000"/>
    <numFmt numFmtId="166" formatCode="0.0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5"/>
      <color rgb="FF000000"/>
      <name val="Calibri"/>
      <family val="2"/>
    </font>
    <font>
      <b/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C5E7"/>
        <bgColor rgb="FFADC5E7"/>
      </patternFill>
    </fill>
    <fill>
      <patternFill patternType="solid">
        <fgColor rgb="FFFCD4D1"/>
        <bgColor rgb="FFFCD4D1"/>
      </patternFill>
    </fill>
    <fill>
      <patternFill patternType="solid">
        <fgColor rgb="FFE0EFD4"/>
        <bgColor rgb="FFE0EFD4"/>
      </patternFill>
    </fill>
    <fill>
      <patternFill patternType="solid">
        <fgColor theme="9" tint="0.79998168889431442"/>
        <bgColor rgb="FFE0EFD4"/>
      </patternFill>
    </fill>
    <fill>
      <patternFill patternType="solid">
        <fgColor theme="9" tint="0.79998168889431442"/>
        <bgColor rgb="FFFCD4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1" fillId="0" borderId="0" xfId="0" applyFont="1" applyFill="1" applyAlignment="1">
      <alignment vertical="center"/>
    </xf>
    <xf numFmtId="0" fontId="1" fillId="6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9"/>
  <sheetViews>
    <sheetView tabSelected="1" workbookViewId="0">
      <selection activeCell="L17" sqref="L17"/>
    </sheetView>
  </sheetViews>
  <sheetFormatPr baseColWidth="10" defaultRowHeight="15.75" x14ac:dyDescent="0.25"/>
  <cols>
    <col min="1" max="1" width="23.28515625" style="5" bestFit="1" customWidth="1"/>
    <col min="2" max="2" width="12.42578125" style="5" bestFit="1" customWidth="1"/>
    <col min="3" max="3" width="15.5703125" style="5" bestFit="1" customWidth="1"/>
    <col min="4" max="4" width="7.140625" style="5" bestFit="1" customWidth="1"/>
    <col min="5" max="7" width="9.5703125" style="5" bestFit="1" customWidth="1"/>
    <col min="8" max="8" width="6" style="5" bestFit="1" customWidth="1"/>
    <col min="9" max="9" width="7.140625" style="5" bestFit="1" customWidth="1"/>
    <col min="10" max="10" width="9.5703125" style="5" bestFit="1" customWidth="1"/>
    <col min="11" max="11" width="9.140625" style="5" bestFit="1" customWidth="1"/>
    <col min="12" max="12" width="9.28515625" style="5" bestFit="1" customWidth="1"/>
    <col min="13" max="13" width="6.42578125" style="5" bestFit="1" customWidth="1"/>
    <col min="14" max="14" width="12.28515625" style="5" bestFit="1" customWidth="1"/>
    <col min="15" max="15" width="11.85546875" style="5" bestFit="1" customWidth="1"/>
    <col min="16" max="16" width="9.28515625" style="5" bestFit="1" customWidth="1"/>
    <col min="17" max="17" width="10.85546875" style="5" customWidth="1"/>
    <col min="18" max="18" width="12.85546875" style="5" bestFit="1" customWidth="1"/>
    <col min="19" max="20" width="9.85546875" style="5" bestFit="1" customWidth="1"/>
    <col min="21" max="21" width="10" style="5" bestFit="1" customWidth="1"/>
    <col min="22" max="22" width="7.85546875" style="5" bestFit="1" customWidth="1"/>
    <col min="23" max="26" width="7" style="5" bestFit="1" customWidth="1"/>
    <col min="27" max="27" width="12.140625" style="5" customWidth="1"/>
    <col min="28" max="28" width="12.5703125" style="5" bestFit="1" customWidth="1"/>
    <col min="29" max="30" width="12.140625" style="5" customWidth="1"/>
    <col min="31" max="31" width="12.5703125" style="5" bestFit="1" customWidth="1"/>
    <col min="32" max="33" width="12.140625" style="5" customWidth="1"/>
    <col min="34" max="34" width="6.28515625" style="5" bestFit="1" customWidth="1"/>
    <col min="35" max="37" width="6.7109375" style="5" bestFit="1" customWidth="1"/>
    <col min="38" max="1021" width="12.140625" style="5" customWidth="1"/>
    <col min="1022" max="1024" width="12.140625" style="3" customWidth="1"/>
    <col min="1025" max="1025" width="11.42578125" customWidth="1"/>
  </cols>
  <sheetData>
    <row r="1" spans="1:1021" x14ac:dyDescent="0.25">
      <c r="A1" s="1" t="s">
        <v>0</v>
      </c>
      <c r="B1" s="2">
        <v>1</v>
      </c>
      <c r="C1" s="3"/>
      <c r="D1" s="4" t="s">
        <v>1</v>
      </c>
      <c r="E1" s="4"/>
      <c r="F1" s="4"/>
      <c r="H1" s="4" t="s">
        <v>2</v>
      </c>
      <c r="I1" s="4"/>
      <c r="J1" s="4"/>
      <c r="K1" s="6"/>
      <c r="L1" s="3"/>
      <c r="M1" s="3"/>
      <c r="N1" s="1" t="s">
        <v>3</v>
      </c>
      <c r="O1" s="1" t="s">
        <v>4</v>
      </c>
      <c r="P1" s="3"/>
      <c r="Q1" s="3"/>
      <c r="R1" s="3"/>
      <c r="S1" s="3"/>
      <c r="T1" s="3"/>
      <c r="U1" s="1"/>
      <c r="AC1" s="3"/>
    </row>
    <row r="2" spans="1:1021" x14ac:dyDescent="0.25">
      <c r="A2" s="1" t="s">
        <v>5</v>
      </c>
      <c r="B2" s="1" t="s">
        <v>6</v>
      </c>
      <c r="C2" s="1" t="s">
        <v>1</v>
      </c>
      <c r="D2" s="7" t="s">
        <v>7</v>
      </c>
      <c r="E2" s="7" t="s">
        <v>8</v>
      </c>
      <c r="F2" s="7" t="str">
        <f>IF(B1=1,AB108,AB109)</f>
        <v>1/4 Km/H</v>
      </c>
      <c r="G2" s="7" t="s">
        <v>9</v>
      </c>
      <c r="H2" s="8" t="s">
        <v>7</v>
      </c>
      <c r="I2" s="8" t="s">
        <v>8</v>
      </c>
      <c r="J2" s="8" t="str">
        <f>IF(B1=1,AB108,AB109)</f>
        <v>1/4 Km/H</v>
      </c>
      <c r="K2" s="8" t="s">
        <v>9</v>
      </c>
      <c r="L2" s="3"/>
      <c r="M2" s="3"/>
      <c r="N2" s="3" t="s">
        <v>10</v>
      </c>
      <c r="O2" s="3">
        <v>5600</v>
      </c>
      <c r="P2" s="3"/>
      <c r="Q2" s="3"/>
      <c r="R2" s="3"/>
      <c r="S2" s="3"/>
      <c r="T2" s="3"/>
      <c r="U2" s="9"/>
      <c r="V2" s="9"/>
      <c r="AC2" s="3"/>
    </row>
    <row r="3" spans="1:1021" x14ac:dyDescent="0.25">
      <c r="A3" s="10">
        <v>3100</v>
      </c>
      <c r="B3" s="2">
        <v>420</v>
      </c>
      <c r="C3" s="11">
        <f>(((A6-(15-(2/1000*A8)))*120)+A8)*1.075</f>
        <v>7443.2999999999993</v>
      </c>
      <c r="D3" s="12">
        <f>E3*0.145</f>
        <v>1.8812678250002088</v>
      </c>
      <c r="E3" s="12">
        <f>((A3/((B3*0.86)*(1-(0.03/1000)*C3)+C6))*5.825^3)^(1/3)</f>
        <v>12.974260862070407</v>
      </c>
      <c r="F3" s="12">
        <f>IF(B1=1,((((B3*0.86)*(1-(0.03/1000)*C3)+C6)/A3)*234^3)^(1/3)*1.60934,((((B3*0.86)*(1-(0.03/1000)*C3)+C6)/A3)*234^3)^(1/3))</f>
        <v>169.07405441591735</v>
      </c>
      <c r="G3" s="11">
        <f>A3/(E3/5.825)^3</f>
        <v>280.54440120000038</v>
      </c>
      <c r="H3" s="13">
        <f>I3*0.145</f>
        <v>1.7292929966672526</v>
      </c>
      <c r="I3" s="13">
        <f>((A3/((B3*0.86)+C6))*5.825^3)^(1/3)</f>
        <v>11.926158597705191</v>
      </c>
      <c r="J3" s="13">
        <f>IF(B1=1,((((B3*0.86)+C6)/A3)*234^3)^(1/3)*1.60934,((((B3*0.86)+C6)/A3)*234^3)^(1/3))</f>
        <v>183.93272813109235</v>
      </c>
      <c r="K3" s="14">
        <f>A3/(I3/5.825)^3</f>
        <v>361.20000000000056</v>
      </c>
      <c r="L3" s="15"/>
      <c r="M3" s="3"/>
      <c r="N3" s="3" t="s">
        <v>11</v>
      </c>
      <c r="O3" s="3">
        <v>5100</v>
      </c>
      <c r="P3" s="3"/>
      <c r="Q3" s="3"/>
      <c r="R3" s="3"/>
      <c r="S3" s="3"/>
      <c r="T3" s="3"/>
      <c r="W3" s="9"/>
      <c r="X3" s="9"/>
      <c r="Y3" s="9"/>
      <c r="Z3" s="9"/>
      <c r="AA3" s="9"/>
      <c r="AC3" s="3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</row>
    <row r="4" spans="1:1021" x14ac:dyDescent="0.25">
      <c r="A4" s="3"/>
      <c r="B4" s="3"/>
      <c r="C4" s="3"/>
      <c r="D4" s="3"/>
      <c r="E4" s="7" t="s">
        <v>12</v>
      </c>
      <c r="F4" s="7" t="str">
        <f>IF(B1=1,AB110,AB111)</f>
        <v>1/8 Km/H</v>
      </c>
      <c r="G4" s="3"/>
      <c r="H4" s="8"/>
      <c r="I4" s="8" t="s">
        <v>12</v>
      </c>
      <c r="J4" s="8" t="str">
        <f>IF(B1=1,AB110,AB111)</f>
        <v>1/8 Km/H</v>
      </c>
      <c r="K4" s="3"/>
      <c r="L4" s="15"/>
      <c r="M4" s="15"/>
      <c r="N4" s="3" t="s">
        <v>13</v>
      </c>
      <c r="O4" s="3">
        <v>4900</v>
      </c>
      <c r="P4" s="3"/>
      <c r="Q4" s="3"/>
      <c r="R4" s="3"/>
      <c r="S4" s="3"/>
      <c r="T4" s="3"/>
      <c r="AC4" s="3"/>
    </row>
    <row r="5" spans="1:1021" x14ac:dyDescent="0.25">
      <c r="A5" s="1" t="s">
        <v>14</v>
      </c>
      <c r="B5" s="3"/>
      <c r="C5" s="1" t="s">
        <v>15</v>
      </c>
      <c r="D5" s="3"/>
      <c r="E5" s="12">
        <f>E3/1.565</f>
        <v>8.2902625316743812</v>
      </c>
      <c r="F5" s="12">
        <f>F3/1.27</f>
        <v>133.12917670544672</v>
      </c>
      <c r="G5" s="3"/>
      <c r="H5" s="16"/>
      <c r="I5" s="13">
        <f>I3/1.565</f>
        <v>7.620548624731752</v>
      </c>
      <c r="J5" s="13">
        <f>J3/1.27</f>
        <v>144.82891978826169</v>
      </c>
      <c r="K5" s="3"/>
      <c r="L5" s="9"/>
      <c r="M5" s="9"/>
      <c r="N5" s="3" t="s">
        <v>16</v>
      </c>
      <c r="O5" s="3">
        <v>4100</v>
      </c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C5" s="3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</row>
    <row r="6" spans="1:1021" x14ac:dyDescent="0.25">
      <c r="A6" s="10">
        <v>20</v>
      </c>
      <c r="B6" s="3"/>
      <c r="C6" s="2">
        <v>0</v>
      </c>
      <c r="D6" s="3"/>
      <c r="E6" s="3"/>
      <c r="F6" s="7" t="s">
        <v>17</v>
      </c>
      <c r="G6" s="3"/>
      <c r="H6" s="8"/>
      <c r="I6" s="8"/>
      <c r="J6" s="8" t="s">
        <v>17</v>
      </c>
      <c r="K6" s="3"/>
      <c r="L6" s="3"/>
      <c r="M6" s="3"/>
      <c r="N6" s="3" t="s">
        <v>18</v>
      </c>
      <c r="O6" s="3">
        <v>1440</v>
      </c>
      <c r="P6" s="3"/>
      <c r="Q6" s="3"/>
      <c r="R6" s="3"/>
      <c r="S6" s="3"/>
      <c r="T6" s="3"/>
      <c r="AC6" s="3"/>
    </row>
    <row r="7" spans="1:1021" x14ac:dyDescent="0.25">
      <c r="A7" s="1" t="s">
        <v>19</v>
      </c>
      <c r="B7" s="1" t="s">
        <v>20</v>
      </c>
      <c r="C7" s="1" t="s">
        <v>5</v>
      </c>
      <c r="D7" s="3"/>
      <c r="E7" s="3"/>
      <c r="F7" s="12">
        <f>((26.8223/((201.1675-(F5*0.447038888888889))/(0.5*E5^2))))*0.915</f>
        <v>5.9538258095088592</v>
      </c>
      <c r="G7" s="3"/>
      <c r="H7" s="17"/>
      <c r="I7" s="13"/>
      <c r="J7" s="13">
        <f>(26.8223/((201.1675-(J5*0.447038888888889))/(0.5*I5^2)))*0.915</f>
        <v>5.2236120037060578</v>
      </c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</row>
    <row r="8" spans="1:1021" s="3" customFormat="1" ht="15" x14ac:dyDescent="0.25">
      <c r="A8" s="10">
        <v>5100</v>
      </c>
      <c r="B8" s="10">
        <v>14.999999999999</v>
      </c>
      <c r="C8" s="11">
        <f>((((B3*0.86)*(1-(0.03/1000)*C3))+C6)*(B8/5.825)^3)</f>
        <v>4790.5744513872851</v>
      </c>
    </row>
    <row r="9" spans="1:1021" s="3" customFormat="1" ht="15" x14ac:dyDescent="0.25"/>
    <row r="10" spans="1:1021" s="3" customFormat="1" ht="15" x14ac:dyDescent="0.25"/>
    <row r="11" spans="1:1021" s="3" customFormat="1" x14ac:dyDescent="0.25">
      <c r="A11" s="1" t="s">
        <v>0</v>
      </c>
      <c r="B11" s="2">
        <v>1</v>
      </c>
      <c r="C11" s="5"/>
      <c r="D11" s="4" t="s">
        <v>21</v>
      </c>
      <c r="E11" s="4"/>
      <c r="F11" s="4"/>
      <c r="G11" s="4"/>
      <c r="H11" s="4"/>
      <c r="I11" s="4"/>
      <c r="J11" s="4"/>
      <c r="K11" s="4"/>
      <c r="L11" s="18"/>
    </row>
    <row r="12" spans="1:1021" s="3" customFormat="1" x14ac:dyDescent="0.25">
      <c r="A12" s="1" t="s">
        <v>22</v>
      </c>
      <c r="B12" s="1" t="s">
        <v>23</v>
      </c>
      <c r="C12" s="1" t="s">
        <v>1</v>
      </c>
      <c r="D12" s="4" t="s">
        <v>1</v>
      </c>
      <c r="E12" s="4"/>
      <c r="F12" s="4"/>
      <c r="G12" s="4"/>
      <c r="H12" s="4" t="s">
        <v>2</v>
      </c>
      <c r="I12" s="4"/>
      <c r="J12" s="4"/>
      <c r="K12" s="4"/>
    </row>
    <row r="13" spans="1:1021" s="3" customFormat="1" x14ac:dyDescent="0.25">
      <c r="A13" s="10">
        <v>3100</v>
      </c>
      <c r="B13" s="2">
        <v>420</v>
      </c>
      <c r="C13" s="10">
        <v>7443</v>
      </c>
      <c r="D13" s="7" t="s">
        <v>7</v>
      </c>
      <c r="E13" s="7" t="s">
        <v>8</v>
      </c>
      <c r="F13" s="7" t="str">
        <f>IF(B11=1,AE108,AE113)</f>
        <v>1/4 Km/H</v>
      </c>
      <c r="G13" s="7" t="s">
        <v>24</v>
      </c>
      <c r="H13" s="19" t="s">
        <v>7</v>
      </c>
      <c r="I13" s="19" t="s">
        <v>8</v>
      </c>
      <c r="J13" s="19" t="str">
        <f>IF(B11=1,AE108,AE113)</f>
        <v>1/4 Km/H</v>
      </c>
      <c r="K13" s="19" t="s">
        <v>24</v>
      </c>
    </row>
    <row r="14" spans="1:1021" s="3" customFormat="1" x14ac:dyDescent="0.25">
      <c r="A14" s="1" t="s">
        <v>25</v>
      </c>
      <c r="D14" s="12">
        <f>E14*0.145</f>
        <v>1.8812605586778057</v>
      </c>
      <c r="E14" s="12">
        <f>((A13/(((B13+(B13/AJ108*A17))*(1-(0.03/1000)*C13))*0.86)*5.825^3)^(1/3))</f>
        <v>12.97421074950211</v>
      </c>
      <c r="F14" s="12">
        <f>IF(B11=1,((((B13+(B13/AJ108*A17))*(1-(0.03/1000)*C13)*0.86)/A13)*234^3)^(1/3)*1.60934,((((B13+(B13/AJ108*A17))*(1-(0.03/1000)*C13)*0.86)/A13+C26)*234^3)^(1/3))</f>
        <v>169.07470746027309</v>
      </c>
      <c r="G14" s="11">
        <f>(B13+(B13/AJ108*A17))*(1-(0.03/1000)*C13)*0.86</f>
        <v>280.54765200000003</v>
      </c>
      <c r="H14" s="20">
        <f>I14*0.145</f>
        <v>1.7292929966672526</v>
      </c>
      <c r="I14" s="20">
        <f>((A13/((B13+(B13/14.696*A17))*0.86))*5.825^3)^(1/3)</f>
        <v>11.926158597705191</v>
      </c>
      <c r="J14" s="20">
        <f>IF(B11=1,((((B13+(B13/14.696*A17))*0.86)/A13)*234^3)^(1/3)*1.60934,((((B13+(B13/14.696*A17))*0.86)/A13)*234^3)^(1/3))</f>
        <v>183.93272813109235</v>
      </c>
      <c r="K14" s="21">
        <f>(B13+(B13/14.696*A17))*0.86</f>
        <v>361.2</v>
      </c>
    </row>
    <row r="15" spans="1:1021" s="3" customFormat="1" x14ac:dyDescent="0.25">
      <c r="A15" s="15">
        <f>A13/2.20462442018378</f>
        <v>1406.1351999999983</v>
      </c>
      <c r="H15" s="5"/>
    </row>
    <row r="16" spans="1:1021" s="3" customFormat="1" x14ac:dyDescent="0.25">
      <c r="A16" s="1" t="s">
        <v>26</v>
      </c>
      <c r="T16" s="5"/>
      <c r="U16" s="5"/>
      <c r="V16" s="5"/>
      <c r="AA16" s="5"/>
      <c r="AB16" s="5"/>
      <c r="AC16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S16" s="5"/>
      <c r="AT16" s="5"/>
    </row>
    <row r="17" spans="1:46" s="3" customFormat="1" x14ac:dyDescent="0.25">
      <c r="A17" s="10">
        <v>0</v>
      </c>
      <c r="M17" s="18"/>
      <c r="N17" s="18"/>
      <c r="O17" s="18"/>
      <c r="P17" s="22"/>
      <c r="Q17" s="22"/>
      <c r="R17" s="22"/>
      <c r="S17" s="22"/>
      <c r="T17" s="5"/>
      <c r="U17" s="23"/>
      <c r="V17" s="22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S17" s="5"/>
      <c r="AT17" s="5"/>
    </row>
    <row r="18" spans="1:46" s="3" customFormat="1" x14ac:dyDescent="0.25">
      <c r="Q18" s="22"/>
      <c r="R18" s="22"/>
      <c r="S18" s="22"/>
      <c r="T18" s="5"/>
      <c r="U18" s="5"/>
      <c r="V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S18" s="5"/>
      <c r="AT18" s="5"/>
    </row>
    <row r="19" spans="1:46" s="3" customFormat="1" x14ac:dyDescent="0.25">
      <c r="B19" s="1"/>
      <c r="C19" s="1"/>
      <c r="D19" s="1"/>
      <c r="Q19"/>
      <c r="R19"/>
      <c r="S19"/>
      <c r="T19" s="5"/>
      <c r="U19" s="24"/>
      <c r="V19" s="24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S19" s="5"/>
      <c r="AT19" s="5"/>
    </row>
    <row r="20" spans="1:46" s="3" customFormat="1" x14ac:dyDescent="0.25">
      <c r="A20" s="1" t="s">
        <v>5</v>
      </c>
      <c r="B20" s="1" t="s">
        <v>27</v>
      </c>
      <c r="C20" s="1" t="s">
        <v>7</v>
      </c>
      <c r="D20" s="1" t="s">
        <v>12</v>
      </c>
      <c r="E20" s="1" t="s">
        <v>28</v>
      </c>
      <c r="F20" s="1" t="s">
        <v>8</v>
      </c>
      <c r="G20" s="1" t="s">
        <v>29</v>
      </c>
      <c r="Q20"/>
      <c r="R20"/>
      <c r="S20"/>
      <c r="T20" s="5"/>
      <c r="U20" s="24"/>
      <c r="V20" s="24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S20" s="5"/>
      <c r="AT20" s="5"/>
    </row>
    <row r="21" spans="1:46" s="3" customFormat="1" x14ac:dyDescent="0.25">
      <c r="A21" s="10">
        <f>A3</f>
        <v>3100</v>
      </c>
      <c r="B21" s="28">
        <f>((A21*((E21*1.27)/234)^3)/(1-(0.03/1000)*C$3)/0.86)</f>
        <v>259.81150105075994</v>
      </c>
      <c r="C21" s="29">
        <v>2.1469999999999998</v>
      </c>
      <c r="D21" s="30">
        <f>(C21/0.141)/1.565</f>
        <v>9.7296807377699235</v>
      </c>
      <c r="E21" s="30">
        <f>((1363.05/D21)/1.565)/1.27</f>
        <v>70.484745240566397</v>
      </c>
      <c r="F21" s="24">
        <f>D21*1.565</f>
        <v>15.226950354609929</v>
      </c>
      <c r="G21" s="15">
        <f>E21*1.27</f>
        <v>89.515626455519325</v>
      </c>
      <c r="I21"/>
      <c r="J21"/>
      <c r="K21"/>
      <c r="L21"/>
      <c r="M21"/>
      <c r="N21"/>
      <c r="O21"/>
      <c r="P21"/>
      <c r="Q21"/>
      <c r="R21"/>
      <c r="S21"/>
      <c r="T21" s="5"/>
      <c r="U21" s="24"/>
      <c r="V21" s="24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S21" s="5"/>
      <c r="AT21" s="5"/>
    </row>
    <row r="22" spans="1:46" s="3" customFormat="1" x14ac:dyDescent="0.25">
      <c r="A22" s="10">
        <f>A21</f>
        <v>3100</v>
      </c>
      <c r="B22" s="28">
        <f>(A22*((E22*1.27)/234)^3)/(1-(0.03/1000)*C$3)/0.86</f>
        <v>272.18088038539594</v>
      </c>
      <c r="C22" s="31">
        <f>(D22*1.565)*0.141</f>
        <v>2.1139706999999999</v>
      </c>
      <c r="D22" s="29">
        <v>9.58</v>
      </c>
      <c r="E22" s="30">
        <f>((1363.05/D22)/1.565)/1.27</f>
        <v>71.5860196319164</v>
      </c>
      <c r="F22" s="24">
        <f>D22*1.565</f>
        <v>14.992699999999999</v>
      </c>
      <c r="G22" s="15">
        <f>E22*1.27</f>
        <v>90.914244932533833</v>
      </c>
      <c r="I22"/>
      <c r="J22"/>
      <c r="K22"/>
      <c r="L22"/>
      <c r="M22"/>
      <c r="N22"/>
      <c r="O22"/>
      <c r="P22"/>
      <c r="Q22"/>
      <c r="R22"/>
      <c r="S22"/>
      <c r="T22" s="5"/>
      <c r="U22" s="24"/>
      <c r="V22" s="24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S22" s="5"/>
      <c r="AT22" s="5"/>
    </row>
    <row r="23" spans="1:46" s="3" customFormat="1" x14ac:dyDescent="0.25">
      <c r="A23" s="10">
        <f>A21</f>
        <v>3100</v>
      </c>
      <c r="B23" s="28">
        <f>(A23*((E23*1.27)/234)^3)/(1-(0.03/1000)*C$3)/0.86</f>
        <v>259.53795925418569</v>
      </c>
      <c r="C23" s="30">
        <f>(D23*1.565)*0.141</f>
        <v>2.1477540169102478</v>
      </c>
      <c r="D23" s="30">
        <f>((1363.05/E23)/1.565)/1.27</f>
        <v>9.7330977586397847</v>
      </c>
      <c r="E23" s="32">
        <v>70.459999999999994</v>
      </c>
      <c r="F23" s="24">
        <f>D23*1.565</f>
        <v>15.232297992271263</v>
      </c>
      <c r="G23" s="15">
        <f>E23*1.27</f>
        <v>89.484199999999987</v>
      </c>
      <c r="I23"/>
      <c r="J23"/>
      <c r="K23"/>
      <c r="L23"/>
      <c r="M23"/>
      <c r="N23"/>
      <c r="O23"/>
      <c r="P23"/>
      <c r="Q23"/>
      <c r="R23"/>
      <c r="S23"/>
      <c r="T23" s="9"/>
      <c r="U23" s="24"/>
      <c r="V23" s="24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M23" s="5"/>
      <c r="AN23" s="5"/>
      <c r="AO23" s="9"/>
      <c r="AP23" s="9"/>
      <c r="AQ23" s="9"/>
      <c r="AS23" s="9"/>
      <c r="AT23" s="9"/>
    </row>
    <row r="24" spans="1:46" s="3" customFormat="1" x14ac:dyDescent="0.25">
      <c r="A24" s="1"/>
      <c r="B24" s="24"/>
      <c r="C24" s="24"/>
      <c r="D24" s="24"/>
      <c r="E24"/>
      <c r="I24"/>
      <c r="J24"/>
      <c r="K24"/>
      <c r="L24"/>
      <c r="M24"/>
      <c r="N24"/>
      <c r="O24"/>
      <c r="P24"/>
      <c r="Q24"/>
      <c r="R24"/>
      <c r="S24"/>
      <c r="T24" s="5"/>
      <c r="U24" s="24"/>
      <c r="V24" s="24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M24" s="5"/>
      <c r="AN24" s="5"/>
      <c r="AO24" s="5"/>
      <c r="AP24" s="5"/>
      <c r="AQ24" s="5"/>
      <c r="AS24" s="5"/>
      <c r="AT24" s="5"/>
    </row>
    <row r="25" spans="1:46" s="3" customFormat="1" x14ac:dyDescent="0.25"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U25" s="24"/>
      <c r="V25" s="24"/>
      <c r="AM25" s="5"/>
      <c r="AN25" s="5"/>
      <c r="AO25" s="9"/>
      <c r="AP25" s="9"/>
      <c r="AQ25" s="9"/>
      <c r="AS25" s="9"/>
      <c r="AT25" s="9"/>
    </row>
    <row r="26" spans="1:46" s="3" customFormat="1" x14ac:dyDescent="0.25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U26" s="24"/>
      <c r="V26" s="24"/>
      <c r="AF26" s="9"/>
      <c r="AM26" s="5"/>
      <c r="AN26" s="5"/>
      <c r="AO26" s="5"/>
      <c r="AP26" s="5"/>
      <c r="AQ26" s="5"/>
      <c r="AR26" s="5"/>
      <c r="AS26" s="5"/>
      <c r="AT26" s="5"/>
    </row>
    <row r="27" spans="1:46" s="26" customFormat="1" ht="19.5" x14ac:dyDescent="0.3">
      <c r="A27" s="3"/>
      <c r="B27" s="3"/>
      <c r="C27"/>
      <c r="D27"/>
      <c r="Q27"/>
      <c r="R27"/>
      <c r="S27"/>
      <c r="T27" s="3"/>
      <c r="U27" s="24"/>
      <c r="V27" s="24"/>
      <c r="AA27" s="3"/>
      <c r="AB27" s="3"/>
      <c r="AC27" s="3"/>
      <c r="AD27" s="3"/>
      <c r="AE27" s="3"/>
      <c r="AF27" s="5"/>
      <c r="AG27" s="3"/>
      <c r="AH27" s="3"/>
      <c r="AI27" s="3"/>
      <c r="AJ27" s="3"/>
      <c r="AK27" s="3"/>
      <c r="AL27" s="27"/>
      <c r="AM27" s="5"/>
      <c r="AN27" s="5"/>
      <c r="AO27" s="9"/>
      <c r="AP27" s="9"/>
      <c r="AQ27" s="9"/>
      <c r="AR27" s="9"/>
      <c r="AS27" s="9"/>
      <c r="AT27" s="9"/>
    </row>
    <row r="28" spans="1:46" s="3" customFormat="1" x14ac:dyDescent="0.25">
      <c r="Q28"/>
      <c r="R28"/>
      <c r="S28"/>
      <c r="U28" s="24"/>
      <c r="V28" s="24"/>
      <c r="AM28" s="5"/>
      <c r="AN28" s="5"/>
    </row>
    <row r="29" spans="1:46" s="3" customFormat="1" x14ac:dyDescent="0.25">
      <c r="Q29"/>
      <c r="R29"/>
      <c r="S29"/>
      <c r="T29" s="5"/>
      <c r="U29" s="24"/>
      <c r="V29" s="24"/>
      <c r="AA29" s="5"/>
      <c r="AB29" s="5"/>
      <c r="AC29" s="5"/>
      <c r="AD29" s="5"/>
      <c r="AE29" s="5"/>
      <c r="AF29" s="9"/>
      <c r="AG29" s="5"/>
      <c r="AH29" s="5"/>
      <c r="AI29" s="5"/>
      <c r="AJ29" s="5"/>
      <c r="AK29" s="5"/>
      <c r="AM29" s="5"/>
      <c r="AN29" s="5"/>
    </row>
    <row r="30" spans="1:46" s="3" customFormat="1" x14ac:dyDescent="0.25">
      <c r="Q30"/>
      <c r="R30"/>
      <c r="S30"/>
      <c r="T30" s="5"/>
      <c r="U30" s="24"/>
      <c r="V30" s="24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M30" s="5"/>
      <c r="AN30" s="5"/>
    </row>
    <row r="31" spans="1:46" s="3" customFormat="1" x14ac:dyDescent="0.25">
      <c r="J31" s="24"/>
      <c r="K31" s="24"/>
      <c r="L31" s="15"/>
      <c r="O31" s="5"/>
      <c r="P31" s="15"/>
      <c r="Q31"/>
      <c r="R31"/>
      <c r="S31"/>
      <c r="T31" s="5"/>
      <c r="U31" s="5"/>
      <c r="V31" s="5"/>
      <c r="AA31" s="5"/>
      <c r="AB31" s="5"/>
      <c r="AC31" s="5"/>
      <c r="AD31" s="5"/>
      <c r="AE31" s="5"/>
      <c r="AG31" s="5"/>
      <c r="AH31" s="5"/>
      <c r="AI31" s="5"/>
      <c r="AJ31" s="5"/>
      <c r="AK31" s="5"/>
      <c r="AM31" s="5"/>
      <c r="AN31" s="5"/>
    </row>
    <row r="32" spans="1:46" s="3" customFormat="1" ht="15" x14ac:dyDescent="0.25">
      <c r="Q32"/>
      <c r="R32"/>
      <c r="S32"/>
      <c r="AF32" s="9"/>
    </row>
    <row r="33" spans="1:40" s="3" customFormat="1" x14ac:dyDescent="0.25">
      <c r="AF33" s="5"/>
    </row>
    <row r="34" spans="1:40" s="3" customFormat="1" ht="15" x14ac:dyDescent="0.25">
      <c r="E34"/>
    </row>
    <row r="35" spans="1:40" s="3" customFormat="1" ht="15" x14ac:dyDescent="0.25">
      <c r="E35"/>
    </row>
    <row r="36" spans="1:40" s="3" customFormat="1" ht="15" x14ac:dyDescent="0.25">
      <c r="E36"/>
    </row>
    <row r="37" spans="1:40" s="3" customFormat="1" ht="15" x14ac:dyDescent="0.25">
      <c r="E37"/>
    </row>
    <row r="38" spans="1:40" s="3" customFormat="1" ht="15" x14ac:dyDescent="0.25">
      <c r="E38"/>
    </row>
    <row r="39" spans="1:40" s="3" customFormat="1" ht="15" x14ac:dyDescent="0.25">
      <c r="C39" s="15"/>
      <c r="D39" s="15"/>
      <c r="E39" s="15"/>
      <c r="J39" s="15"/>
      <c r="O39" s="15"/>
    </row>
    <row r="40" spans="1:40" s="3" customFormat="1" ht="15" x14ac:dyDescent="0.25">
      <c r="C40" s="15"/>
      <c r="J40" s="15"/>
      <c r="O40" s="15"/>
    </row>
    <row r="41" spans="1:40" s="3" customFormat="1" ht="15" x14ac:dyDescent="0.25">
      <c r="C41" s="15"/>
      <c r="J41" s="15"/>
      <c r="O41" s="15"/>
    </row>
    <row r="42" spans="1:40" s="3" customFormat="1" ht="15" x14ac:dyDescent="0.25">
      <c r="C42" s="15"/>
      <c r="J42" s="15"/>
      <c r="O42" s="15"/>
    </row>
    <row r="43" spans="1:40" s="3" customFormat="1" x14ac:dyDescent="0.25">
      <c r="A43" s="1"/>
      <c r="B43" s="1"/>
      <c r="N43" s="15"/>
      <c r="AM43" s="5"/>
      <c r="AN43" s="5"/>
    </row>
    <row r="44" spans="1:40" s="3" customFormat="1" ht="15" x14ac:dyDescent="0.25">
      <c r="A44" s="33"/>
      <c r="B44" s="15"/>
      <c r="C44"/>
      <c r="D44"/>
      <c r="E44"/>
      <c r="F44"/>
      <c r="G44"/>
      <c r="H44"/>
      <c r="I44"/>
      <c r="J44"/>
      <c r="K44"/>
      <c r="N44" s="15"/>
    </row>
    <row r="45" spans="1:40" s="3" customFormat="1" x14ac:dyDescent="0.25">
      <c r="C45"/>
      <c r="D45"/>
      <c r="E45"/>
      <c r="F45"/>
      <c r="G45"/>
      <c r="H45"/>
      <c r="I45"/>
      <c r="J45"/>
      <c r="K45"/>
      <c r="O45" s="9"/>
      <c r="P45" s="9"/>
      <c r="Q45" s="9"/>
      <c r="R45" s="9"/>
      <c r="S45" s="9"/>
      <c r="T45" s="9"/>
      <c r="U45" s="9"/>
      <c r="V45" s="9"/>
      <c r="AA45" s="9"/>
      <c r="AB45" s="9"/>
      <c r="AC45" s="9"/>
      <c r="AD45" s="9"/>
      <c r="AE45" s="9"/>
      <c r="AG45" s="9"/>
      <c r="AH45" s="9"/>
      <c r="AI45" s="9"/>
      <c r="AJ45" s="9"/>
      <c r="AK45" s="9"/>
      <c r="AM45" s="5"/>
      <c r="AN45" s="5"/>
    </row>
    <row r="46" spans="1:40" s="3" customFormat="1" x14ac:dyDescent="0.25">
      <c r="C46"/>
      <c r="D46"/>
      <c r="E46"/>
      <c r="F46"/>
      <c r="G46"/>
      <c r="H46"/>
      <c r="I46"/>
      <c r="J46"/>
      <c r="K46"/>
      <c r="O46" s="5"/>
      <c r="P46" s="5"/>
      <c r="Q46" s="5"/>
      <c r="R46" s="5"/>
      <c r="S46" s="5"/>
      <c r="T46" s="5"/>
      <c r="U46" s="5"/>
      <c r="V46" s="5"/>
      <c r="AA46" s="5"/>
      <c r="AB46" s="5"/>
      <c r="AC46" s="5"/>
      <c r="AD46" s="5"/>
      <c r="AE46" s="5"/>
      <c r="AG46" s="5"/>
      <c r="AH46" s="5"/>
      <c r="AI46" s="5"/>
      <c r="AJ46" s="5"/>
      <c r="AK46" s="5"/>
      <c r="AM46" s="5"/>
      <c r="AN46" s="5"/>
    </row>
    <row r="47" spans="1:40" s="3" customFormat="1" x14ac:dyDescent="0.25">
      <c r="C47"/>
      <c r="D47"/>
      <c r="E47"/>
      <c r="F47"/>
      <c r="G47"/>
      <c r="H47"/>
      <c r="I47"/>
      <c r="J47"/>
      <c r="K47"/>
      <c r="AM47" s="5"/>
      <c r="AN47" s="5"/>
    </row>
    <row r="48" spans="1:40" s="3" customFormat="1" x14ac:dyDescent="0.25">
      <c r="C48"/>
      <c r="D48"/>
      <c r="E48"/>
      <c r="F48"/>
      <c r="G48"/>
      <c r="H48"/>
      <c r="I48"/>
      <c r="J48"/>
      <c r="K48"/>
      <c r="AM48" s="5"/>
      <c r="AN48" s="5"/>
    </row>
    <row r="49" spans="1:46" s="3" customFormat="1" x14ac:dyDescent="0.25">
      <c r="C49"/>
      <c r="D49"/>
      <c r="E49"/>
      <c r="F49"/>
      <c r="G49"/>
      <c r="H49"/>
      <c r="I49"/>
      <c r="J49"/>
      <c r="K49"/>
      <c r="AM49" s="5"/>
      <c r="AN49" s="5"/>
    </row>
    <row r="50" spans="1:46" s="3" customFormat="1" x14ac:dyDescent="0.25">
      <c r="C50"/>
      <c r="D50"/>
      <c r="E50"/>
      <c r="F50"/>
      <c r="G50"/>
      <c r="H50"/>
      <c r="I50"/>
      <c r="J50"/>
      <c r="K50"/>
      <c r="Y50"/>
      <c r="AM50" s="5"/>
      <c r="AN50" s="5"/>
    </row>
    <row r="51" spans="1:46" s="3" customFormat="1" x14ac:dyDescent="0.25">
      <c r="B51" s="15"/>
      <c r="C51"/>
      <c r="D51"/>
      <c r="E51"/>
      <c r="F51"/>
      <c r="G51"/>
      <c r="H51"/>
      <c r="I51"/>
      <c r="J51"/>
      <c r="K51"/>
      <c r="L51" s="34"/>
      <c r="Y51"/>
      <c r="AM51" s="5"/>
      <c r="AN51" s="5"/>
    </row>
    <row r="52" spans="1:46" s="3" customFormat="1" x14ac:dyDescent="0.25">
      <c r="C52"/>
      <c r="D52"/>
      <c r="E52"/>
      <c r="F52"/>
      <c r="G52"/>
      <c r="H52"/>
      <c r="I52"/>
      <c r="J52"/>
      <c r="K52"/>
      <c r="Y52"/>
      <c r="AM52" s="5"/>
      <c r="AN52" s="5"/>
    </row>
    <row r="53" spans="1:46" s="3" customFormat="1" x14ac:dyDescent="0.25">
      <c r="A53" s="5"/>
      <c r="B53" s="5"/>
      <c r="G53" s="15"/>
      <c r="J53"/>
      <c r="K53"/>
      <c r="M53" s="1"/>
      <c r="Y53"/>
      <c r="AM53" s="5"/>
      <c r="AN53" s="5"/>
    </row>
    <row r="54" spans="1:46" s="3" customFormat="1" x14ac:dyDescent="0.25">
      <c r="E54"/>
      <c r="F54"/>
      <c r="G54"/>
      <c r="H54"/>
      <c r="J54"/>
      <c r="K54"/>
      <c r="L54" s="5"/>
      <c r="M54" s="5"/>
      <c r="N54" s="5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5"/>
      <c r="AM54" s="5"/>
      <c r="AN54" s="5"/>
      <c r="AO54" s="5"/>
      <c r="AP54" s="5"/>
      <c r="AQ54" s="5"/>
      <c r="AR54" s="5"/>
      <c r="AS54" s="5"/>
      <c r="AT54" s="5"/>
    </row>
    <row r="55" spans="1:46" s="3" customFormat="1" x14ac:dyDescent="0.25">
      <c r="E55"/>
      <c r="F55"/>
      <c r="G55"/>
      <c r="H55"/>
      <c r="J55"/>
      <c r="K55"/>
      <c r="L55" s="5"/>
      <c r="M55" s="5"/>
      <c r="N55" s="5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5"/>
      <c r="AM55" s="5"/>
      <c r="AN55" s="5"/>
      <c r="AO55" s="5"/>
      <c r="AP55" s="5"/>
      <c r="AQ55" s="5"/>
      <c r="AR55" s="5"/>
      <c r="AS55" s="5"/>
      <c r="AT55" s="5"/>
    </row>
    <row r="56" spans="1:46" s="3" customFormat="1" x14ac:dyDescent="0.25">
      <c r="A56" s="3" t="s">
        <v>30</v>
      </c>
      <c r="E56"/>
      <c r="F56"/>
      <c r="G56"/>
      <c r="H56"/>
      <c r="J56"/>
      <c r="K56"/>
      <c r="L56" s="5"/>
      <c r="M56" s="5"/>
      <c r="N56" s="5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5"/>
      <c r="AM56" s="5"/>
      <c r="AN56" s="5"/>
      <c r="AO56" s="5"/>
      <c r="AP56" s="5"/>
      <c r="AQ56" s="5"/>
      <c r="AR56" s="5"/>
      <c r="AS56" s="5"/>
      <c r="AT56" s="5"/>
    </row>
    <row r="57" spans="1:46" s="3" customFormat="1" x14ac:dyDescent="0.25">
      <c r="A57" s="3" t="s">
        <v>31</v>
      </c>
      <c r="B57" s="3">
        <v>100</v>
      </c>
      <c r="E57"/>
      <c r="F57"/>
      <c r="G57"/>
      <c r="H57"/>
      <c r="J57"/>
      <c r="K57"/>
      <c r="L57" s="5"/>
      <c r="M57" s="5"/>
      <c r="N57" s="5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5"/>
      <c r="AM57" s="5"/>
      <c r="AN57" s="5"/>
      <c r="AO57" s="5"/>
      <c r="AP57" s="5"/>
      <c r="AQ57" s="5"/>
      <c r="AR57" s="5"/>
      <c r="AS57" s="5"/>
      <c r="AT57" s="5"/>
    </row>
    <row r="58" spans="1:46" s="3" customFormat="1" x14ac:dyDescent="0.25">
      <c r="A58" s="3" t="e">
        <f>#REF!+(#REF!*(A17/10))</f>
        <v>#REF!</v>
      </c>
      <c r="B58" s="3" t="s">
        <v>32</v>
      </c>
      <c r="C58" s="3" t="e">
        <f>#REF!*(A17/14.696)</f>
        <v>#REF!</v>
      </c>
      <c r="E58"/>
      <c r="F58"/>
      <c r="G58"/>
      <c r="H58"/>
      <c r="J58"/>
      <c r="K58"/>
      <c r="L58" s="5"/>
      <c r="M58" s="5"/>
      <c r="N58" s="5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5"/>
      <c r="AM58" s="5"/>
      <c r="AN58" s="5"/>
      <c r="AO58" s="5"/>
      <c r="AP58" s="5"/>
      <c r="AQ58" s="5"/>
      <c r="AR58" s="5"/>
      <c r="AS58" s="5"/>
      <c r="AT58" s="5"/>
    </row>
    <row r="59" spans="1:46" s="3" customFormat="1" x14ac:dyDescent="0.25">
      <c r="C59" s="3">
        <f>B57/14.696</f>
        <v>6.8045726728361462</v>
      </c>
      <c r="D59" s="24"/>
      <c r="E59"/>
      <c r="F59"/>
      <c r="G59"/>
      <c r="H59"/>
      <c r="J59"/>
      <c r="K59"/>
      <c r="L59" s="5"/>
      <c r="M59" s="5"/>
      <c r="N59" s="5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5"/>
      <c r="AM59" s="5"/>
      <c r="AN59" s="5"/>
      <c r="AO59" s="5"/>
      <c r="AP59" s="5"/>
      <c r="AQ59" s="5"/>
      <c r="AR59" s="5"/>
      <c r="AS59" s="5"/>
      <c r="AT59" s="5"/>
    </row>
    <row r="60" spans="1:46" s="3" customFormat="1" x14ac:dyDescent="0.25">
      <c r="A60" s="5"/>
      <c r="B60" s="5"/>
      <c r="C60" s="35">
        <f>C59*A17</f>
        <v>0</v>
      </c>
      <c r="D60" s="36"/>
      <c r="E60"/>
      <c r="F60"/>
      <c r="G60"/>
      <c r="H60"/>
      <c r="I60" s="34"/>
      <c r="J60" s="5"/>
      <c r="K60" s="5"/>
      <c r="L60" s="5"/>
      <c r="M60" s="5"/>
      <c r="N60" s="5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5"/>
      <c r="AM60" s="5"/>
      <c r="AN60" s="5"/>
      <c r="AO60" s="5"/>
      <c r="AP60" s="5"/>
      <c r="AQ60" s="5"/>
      <c r="AR60" s="5"/>
      <c r="AS60" s="5"/>
      <c r="AT60" s="5"/>
    </row>
    <row r="61" spans="1:46" s="3" customFormat="1" x14ac:dyDescent="0.25">
      <c r="A61" s="1"/>
      <c r="B61" s="1"/>
      <c r="E61"/>
      <c r="F61"/>
      <c r="G61"/>
      <c r="H61"/>
      <c r="J61" s="5"/>
      <c r="K61" s="5"/>
      <c r="L61" s="5"/>
      <c r="M61" s="5"/>
      <c r="N61" s="5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5"/>
      <c r="AM61" s="5"/>
      <c r="AN61" s="5"/>
      <c r="AO61" s="5"/>
      <c r="AP61" s="5"/>
      <c r="AQ61" s="5"/>
      <c r="AR61" s="5"/>
      <c r="AS61" s="5"/>
      <c r="AT61" s="5"/>
    </row>
    <row r="62" spans="1:46" s="3" customFormat="1" x14ac:dyDescent="0.25">
      <c r="A62" s="3" t="s">
        <v>33</v>
      </c>
      <c r="B62" s="15"/>
      <c r="G62" s="15"/>
      <c r="J62" s="5"/>
      <c r="K62" s="5"/>
      <c r="L62" s="5"/>
      <c r="M62" s="5"/>
      <c r="N62" s="5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5"/>
      <c r="AM62" s="5"/>
      <c r="AN62" s="5"/>
      <c r="AO62" s="5"/>
      <c r="AP62" s="5"/>
      <c r="AQ62" s="5"/>
      <c r="AR62" s="5"/>
      <c r="AS62" s="5"/>
      <c r="AT62" s="5"/>
    </row>
    <row r="63" spans="1:46" s="3" customFormat="1" x14ac:dyDescent="0.25">
      <c r="A63" s="3" t="s">
        <v>34</v>
      </c>
      <c r="B63" s="5"/>
      <c r="C63" s="5"/>
      <c r="D63" s="5"/>
      <c r="E63" s="5"/>
      <c r="F63" s="5"/>
      <c r="G63" s="25"/>
      <c r="H63" s="5"/>
      <c r="I63" s="5"/>
      <c r="J63" s="5"/>
      <c r="K63" s="5"/>
      <c r="L63" s="5"/>
      <c r="M63" s="5"/>
      <c r="N63" s="5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5"/>
      <c r="AM63" s="5"/>
      <c r="AN63" s="5"/>
      <c r="AO63" s="5"/>
      <c r="AP63" s="5"/>
      <c r="AQ63" s="5"/>
      <c r="AR63" s="5"/>
      <c r="AS63" s="5"/>
      <c r="AT63" s="5"/>
    </row>
    <row r="64" spans="1:46" s="3" customFormat="1" x14ac:dyDescent="0.25">
      <c r="A64" s="33" t="e">
        <f>#REF!+(#REF!/10*A17)</f>
        <v>#REF!</v>
      </c>
      <c r="B64" s="5"/>
      <c r="C64" s="5"/>
      <c r="D64" s="5"/>
      <c r="E64" s="5"/>
      <c r="F64" s="5"/>
      <c r="G64" s="25"/>
      <c r="H64" s="5"/>
      <c r="I64" s="5"/>
      <c r="J64" s="5"/>
      <c r="K64" s="5"/>
      <c r="L64" s="5"/>
      <c r="M64" s="5"/>
      <c r="N64" s="5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5"/>
      <c r="AM64" s="5"/>
      <c r="AN64" s="5"/>
      <c r="AO64" s="5"/>
      <c r="AP64" s="5"/>
      <c r="AQ64" s="5"/>
      <c r="AR64" s="5"/>
      <c r="AS64" s="5"/>
      <c r="AT64" s="5"/>
    </row>
    <row r="65" spans="1:46" s="3" customFormat="1" x14ac:dyDescent="0.25">
      <c r="A65" s="5"/>
      <c r="B65" s="5"/>
      <c r="C65" s="5"/>
      <c r="D65" s="5"/>
      <c r="E65" s="5"/>
      <c r="F65" s="5"/>
      <c r="G65" s="25"/>
      <c r="H65" s="5"/>
      <c r="I65" s="5"/>
      <c r="J65" s="5"/>
      <c r="K65" s="5"/>
      <c r="L65" s="5"/>
      <c r="M65" s="5"/>
      <c r="N65" s="5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5"/>
      <c r="AM65" s="5"/>
      <c r="AN65" s="5"/>
      <c r="AO65" s="5"/>
      <c r="AP65" s="5"/>
      <c r="AQ65" s="5"/>
      <c r="AR65" s="5"/>
      <c r="AS65" s="5"/>
      <c r="AT65" s="5"/>
    </row>
    <row r="66" spans="1:46" s="3" customFormat="1" x14ac:dyDescent="0.25">
      <c r="B66" s="3" t="s">
        <v>35</v>
      </c>
      <c r="C66" s="15">
        <v>0</v>
      </c>
      <c r="F66" s="5"/>
      <c r="G66" s="25"/>
      <c r="H66" s="5"/>
      <c r="I66" s="5"/>
      <c r="J66" s="5"/>
      <c r="K66" s="5"/>
      <c r="L66" s="5"/>
      <c r="M66" s="5"/>
      <c r="N66" s="5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5"/>
      <c r="AM66" s="5"/>
      <c r="AN66" s="5"/>
      <c r="AO66" s="5"/>
      <c r="AP66" s="5"/>
      <c r="AQ66" s="5"/>
      <c r="AR66" s="5"/>
      <c r="AS66" s="5"/>
      <c r="AT66" s="5"/>
    </row>
    <row r="67" spans="1:46" s="3" customFormat="1" x14ac:dyDescent="0.25">
      <c r="B67" s="3" t="s">
        <v>23</v>
      </c>
      <c r="C67" s="15"/>
      <c r="F67" s="5"/>
      <c r="G67" s="25"/>
      <c r="H67" s="5"/>
      <c r="I67" s="5"/>
      <c r="J67" s="5"/>
      <c r="K67" s="5"/>
      <c r="L67" s="5"/>
      <c r="M67" s="5"/>
      <c r="N67" s="5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5"/>
      <c r="AM67" s="5"/>
      <c r="AN67" s="5"/>
      <c r="AO67" s="5"/>
      <c r="AP67" s="5"/>
      <c r="AQ67" s="5"/>
      <c r="AR67" s="5"/>
      <c r="AS67" s="5"/>
      <c r="AT67" s="5"/>
    </row>
    <row r="68" spans="1:46" s="3" customFormat="1" x14ac:dyDescent="0.25">
      <c r="A68" s="3" t="s">
        <v>36</v>
      </c>
      <c r="B68" s="3">
        <v>475</v>
      </c>
      <c r="C68" s="15"/>
      <c r="D68" s="3" t="s">
        <v>37</v>
      </c>
      <c r="F68" s="5"/>
      <c r="G68" s="25"/>
      <c r="H68" s="5"/>
      <c r="I68" s="5"/>
      <c r="J68" s="5"/>
      <c r="K68" s="5"/>
      <c r="L68" s="5"/>
      <c r="M68" s="5"/>
      <c r="N68" s="5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5"/>
      <c r="AM68" s="5"/>
      <c r="AN68" s="5"/>
      <c r="AO68" s="5"/>
      <c r="AP68" s="5"/>
      <c r="AQ68" s="5"/>
      <c r="AR68" s="5"/>
      <c r="AS68" s="5"/>
      <c r="AT68" s="5"/>
    </row>
    <row r="69" spans="1:46" s="3" customFormat="1" x14ac:dyDescent="0.25">
      <c r="A69" s="3">
        <v>14.696</v>
      </c>
      <c r="B69" s="3" t="s">
        <v>38</v>
      </c>
      <c r="C69" s="15">
        <f>B68/A69</f>
        <v>32.321720195971693</v>
      </c>
      <c r="D69" s="5"/>
      <c r="E69" s="3">
        <f>B$54+(C69*C$52)</f>
        <v>0</v>
      </c>
      <c r="F69" s="5"/>
      <c r="G69" s="5"/>
      <c r="H69" s="5"/>
      <c r="I69" s="5"/>
      <c r="J69" s="5"/>
      <c r="K69" s="5"/>
      <c r="L69" s="5"/>
      <c r="M69" s="5"/>
      <c r="N69" s="5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5"/>
      <c r="AM69" s="5"/>
      <c r="AN69" s="5"/>
      <c r="AO69" s="5"/>
      <c r="AP69" s="5"/>
      <c r="AQ69" s="5"/>
      <c r="AR69" s="5"/>
      <c r="AS69" s="5"/>
      <c r="AT69" s="5"/>
    </row>
    <row r="70" spans="1:46" s="3" customFormat="1" x14ac:dyDescent="0.25">
      <c r="A70" s="3">
        <v>13.42</v>
      </c>
      <c r="B70" s="3" t="s">
        <v>39</v>
      </c>
      <c r="C70" s="15">
        <f>(B68*(1-(0.03/1000)*C13))/A70</f>
        <v>27.49159836065574</v>
      </c>
      <c r="E70" s="3">
        <f>B$54+(C70*C$52)</f>
        <v>0</v>
      </c>
      <c r="F70" s="5"/>
      <c r="G70" s="5"/>
      <c r="H70" s="5"/>
      <c r="I70" s="5"/>
      <c r="J70" s="5"/>
      <c r="K70" s="5"/>
      <c r="L70" s="5"/>
      <c r="M70" s="5"/>
      <c r="N70" s="5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5"/>
      <c r="AM70" s="5"/>
      <c r="AN70" s="5"/>
      <c r="AO70" s="5"/>
      <c r="AP70" s="5"/>
      <c r="AQ70" s="5"/>
      <c r="AR70" s="5"/>
      <c r="AS70" s="5"/>
      <c r="AT70" s="5"/>
    </row>
    <row r="71" spans="1:46" s="3" customFormat="1" x14ac:dyDescent="0.25">
      <c r="A71" s="24">
        <v>10.92</v>
      </c>
      <c r="B71" s="24" t="s">
        <v>40</v>
      </c>
      <c r="C71" s="15">
        <f>(B$54*(1-(0.03/1000)*C$8))/A71</f>
        <v>0</v>
      </c>
      <c r="E71" s="3">
        <f>B$54+(C71*C$52)</f>
        <v>0</v>
      </c>
      <c r="F71" s="5"/>
      <c r="G71" s="5"/>
      <c r="H71" s="5"/>
      <c r="I71" s="5"/>
      <c r="J71" s="5"/>
      <c r="K71" s="5"/>
      <c r="L71" s="5"/>
      <c r="M71" s="5"/>
      <c r="N71" s="5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5"/>
      <c r="AM71" s="5"/>
      <c r="AN71" s="5"/>
      <c r="AO71" s="5"/>
      <c r="AP71" s="5"/>
      <c r="AQ71" s="5"/>
      <c r="AR71" s="5"/>
      <c r="AS71" s="5"/>
      <c r="AT71" s="5"/>
    </row>
    <row r="72" spans="1:46" s="3" customFormat="1" x14ac:dyDescent="0.25">
      <c r="A72" s="34"/>
      <c r="B72" s="34"/>
      <c r="C72" s="37"/>
      <c r="D72" s="35"/>
      <c r="E72" s="36"/>
      <c r="F72" s="5"/>
      <c r="G72" s="5"/>
      <c r="H72" s="5"/>
      <c r="I72" s="5"/>
      <c r="J72" s="5"/>
      <c r="K72" s="5"/>
      <c r="L72" s="5"/>
      <c r="M72" s="5"/>
      <c r="N72" s="5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5"/>
      <c r="AM72" s="5"/>
      <c r="AN72" s="5"/>
      <c r="AO72" s="5"/>
      <c r="AP72" s="5"/>
      <c r="AQ72" s="5"/>
      <c r="AR72" s="5"/>
      <c r="AS72" s="5"/>
      <c r="AT72" s="5"/>
    </row>
    <row r="73" spans="1:46" s="3" customFormat="1" x14ac:dyDescent="0.25">
      <c r="A73" s="24" t="e">
        <f>#REF!/0.86</f>
        <v>#REF!</v>
      </c>
      <c r="B73" s="3">
        <v>1070</v>
      </c>
      <c r="C73" s="15"/>
      <c r="F73" s="5"/>
      <c r="G73" s="5"/>
      <c r="H73" s="5"/>
      <c r="I73" s="5"/>
      <c r="J73" s="5"/>
      <c r="K73" s="5"/>
      <c r="L73" s="5"/>
      <c r="M73" s="5"/>
      <c r="N73" s="5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5"/>
      <c r="AM73" s="5"/>
      <c r="AN73" s="5"/>
      <c r="AO73" s="5"/>
      <c r="AP73" s="5"/>
      <c r="AQ73" s="5"/>
      <c r="AR73" s="5"/>
      <c r="AS73" s="5"/>
      <c r="AT73" s="5"/>
    </row>
    <row r="74" spans="1:46" s="3" customForma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5"/>
      <c r="AM74" s="5"/>
      <c r="AN74" s="5"/>
      <c r="AO74" s="5"/>
      <c r="AP74" s="5"/>
      <c r="AQ74" s="5"/>
      <c r="AR74" s="5"/>
      <c r="AS74" s="5"/>
      <c r="AT74" s="5"/>
    </row>
    <row r="75" spans="1:46" s="3" customForma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5"/>
      <c r="AM75" s="5"/>
      <c r="AN75" s="5"/>
      <c r="AO75" s="5"/>
      <c r="AP75" s="5"/>
      <c r="AQ75" s="5"/>
      <c r="AR75" s="5"/>
      <c r="AS75" s="5"/>
      <c r="AT75" s="5"/>
    </row>
    <row r="76" spans="1:46" s="3" customForma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5"/>
      <c r="AM76" s="5"/>
      <c r="AN76" s="5"/>
      <c r="AO76" s="5"/>
      <c r="AP76" s="5"/>
      <c r="AQ76" s="5"/>
      <c r="AR76" s="5"/>
      <c r="AS76" s="5"/>
      <c r="AT76" s="5"/>
    </row>
    <row r="77" spans="1:46" s="3" customForma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5"/>
      <c r="AM77" s="5"/>
      <c r="AN77" s="5"/>
      <c r="AO77" s="5"/>
      <c r="AP77" s="5"/>
      <c r="AQ77" s="5"/>
      <c r="AR77" s="5"/>
      <c r="AS77" s="5"/>
      <c r="AT77" s="5"/>
    </row>
    <row r="78" spans="1:46" s="3" customFormat="1" ht="15" x14ac:dyDescent="0.25"/>
    <row r="79" spans="1:46" s="3" customFormat="1" ht="15" x14ac:dyDescent="0.25"/>
    <row r="80" spans="1:46" s="3" customFormat="1" ht="15" x14ac:dyDescent="0.25"/>
    <row r="81" s="3" customFormat="1" ht="15" x14ac:dyDescent="0.25"/>
    <row r="82" s="3" customFormat="1" ht="15" x14ac:dyDescent="0.25"/>
    <row r="83" s="3" customFormat="1" ht="15" x14ac:dyDescent="0.25"/>
    <row r="84" s="3" customFormat="1" ht="15" x14ac:dyDescent="0.25"/>
    <row r="85" s="3" customFormat="1" ht="15" x14ac:dyDescent="0.25"/>
    <row r="86" s="3" customFormat="1" ht="15" x14ac:dyDescent="0.25"/>
    <row r="87" s="3" customFormat="1" ht="15" x14ac:dyDescent="0.25"/>
    <row r="88" s="3" customFormat="1" ht="15" x14ac:dyDescent="0.25"/>
    <row r="89" s="3" customFormat="1" ht="15" x14ac:dyDescent="0.25"/>
    <row r="90" s="3" customFormat="1" ht="15" x14ac:dyDescent="0.25"/>
    <row r="91" s="3" customFormat="1" ht="15" x14ac:dyDescent="0.25"/>
    <row r="92" s="3" customFormat="1" ht="15" x14ac:dyDescent="0.25"/>
    <row r="93" s="3" customFormat="1" ht="15" x14ac:dyDescent="0.25"/>
    <row r="94" s="3" customFormat="1" ht="15" x14ac:dyDescent="0.25"/>
    <row r="95" s="3" customFormat="1" ht="15" x14ac:dyDescent="0.25"/>
    <row r="96" s="3" customFormat="1" ht="15" x14ac:dyDescent="0.25"/>
    <row r="97" spans="28:37" s="3" customFormat="1" ht="15" x14ac:dyDescent="0.25"/>
    <row r="98" spans="28:37" s="3" customFormat="1" ht="15" x14ac:dyDescent="0.25"/>
    <row r="99" spans="28:37" s="3" customFormat="1" ht="15" x14ac:dyDescent="0.25"/>
    <row r="100" spans="28:37" s="3" customFormat="1" ht="15" x14ac:dyDescent="0.25"/>
    <row r="101" spans="28:37" s="3" customFormat="1" ht="15" x14ac:dyDescent="0.25"/>
    <row r="102" spans="28:37" s="3" customFormat="1" ht="15" x14ac:dyDescent="0.25"/>
    <row r="103" spans="28:37" s="3" customFormat="1" ht="15" x14ac:dyDescent="0.25"/>
    <row r="104" spans="28:37" s="3" customFormat="1" ht="15" x14ac:dyDescent="0.25"/>
    <row r="105" spans="28:37" s="3" customFormat="1" ht="15" x14ac:dyDescent="0.25"/>
    <row r="106" spans="28:37" s="3" customFormat="1" ht="15" x14ac:dyDescent="0.25"/>
    <row r="107" spans="28:37" s="3" customFormat="1" ht="15" x14ac:dyDescent="0.25"/>
    <row r="108" spans="28:37" s="3" customFormat="1" x14ac:dyDescent="0.25">
      <c r="AB108" s="1" t="s">
        <v>41</v>
      </c>
      <c r="AE108" s="1" t="s">
        <v>41</v>
      </c>
      <c r="AH108" s="5" t="s">
        <v>42</v>
      </c>
      <c r="AI108" s="5" t="s">
        <v>43</v>
      </c>
      <c r="AJ108" s="5">
        <v>11.34</v>
      </c>
      <c r="AK108" s="5">
        <v>13.92</v>
      </c>
    </row>
    <row r="109" spans="28:37" s="3" customFormat="1" x14ac:dyDescent="0.25">
      <c r="AB109" s="1" t="s">
        <v>29</v>
      </c>
      <c r="AE109" s="1"/>
      <c r="AH109" s="5">
        <v>-5000</v>
      </c>
      <c r="AI109" s="5">
        <v>17.55</v>
      </c>
      <c r="AJ109"/>
      <c r="AK109" s="5"/>
    </row>
    <row r="110" spans="28:37" s="3" customFormat="1" x14ac:dyDescent="0.25">
      <c r="AB110" s="1" t="s">
        <v>44</v>
      </c>
      <c r="AE110" s="1"/>
      <c r="AH110" s="5">
        <v>-4000</v>
      </c>
      <c r="AI110" s="5">
        <v>16.95</v>
      </c>
      <c r="AJ110"/>
      <c r="AK110" s="5"/>
    </row>
    <row r="111" spans="28:37" s="3" customFormat="1" x14ac:dyDescent="0.25">
      <c r="AB111" s="1" t="s">
        <v>28</v>
      </c>
      <c r="AE111" s="1"/>
      <c r="AH111" s="5">
        <v>-3000</v>
      </c>
      <c r="AI111" s="5">
        <v>16.36</v>
      </c>
      <c r="AJ111"/>
      <c r="AK111" s="5"/>
    </row>
    <row r="112" spans="28:37" s="3" customFormat="1" x14ac:dyDescent="0.25">
      <c r="AB112" s="5" t="s">
        <v>22</v>
      </c>
      <c r="AE112" s="1"/>
      <c r="AH112" s="5">
        <v>-2000</v>
      </c>
      <c r="AI112" s="5">
        <v>15.79</v>
      </c>
      <c r="AJ112"/>
      <c r="AK112" s="5"/>
    </row>
    <row r="113" spans="28:37" s="3" customFormat="1" x14ac:dyDescent="0.25">
      <c r="AB113" s="9" t="s">
        <v>25</v>
      </c>
      <c r="AE113" s="1" t="s">
        <v>29</v>
      </c>
      <c r="AH113" s="5">
        <v>-1000</v>
      </c>
      <c r="AI113" s="5">
        <v>15.24</v>
      </c>
      <c r="AJ113"/>
      <c r="AK113" s="5"/>
    </row>
    <row r="114" spans="28:37" s="3" customFormat="1" x14ac:dyDescent="0.25">
      <c r="AE114" s="1" t="s">
        <v>44</v>
      </c>
      <c r="AH114" s="5">
        <v>-500</v>
      </c>
      <c r="AI114" s="5">
        <v>14.96</v>
      </c>
      <c r="AJ114"/>
      <c r="AK114" s="5"/>
    </row>
    <row r="115" spans="28:37" s="3" customFormat="1" x14ac:dyDescent="0.25">
      <c r="AE115" s="1" t="s">
        <v>28</v>
      </c>
      <c r="AH115" s="9">
        <v>0</v>
      </c>
      <c r="AI115" s="9">
        <v>14.7</v>
      </c>
      <c r="AJ115"/>
      <c r="AK115" s="9"/>
    </row>
    <row r="116" spans="28:37" s="3" customFormat="1" x14ac:dyDescent="0.25">
      <c r="AE116" s="5" t="s">
        <v>22</v>
      </c>
      <c r="AH116" s="5">
        <v>500</v>
      </c>
      <c r="AI116" s="5">
        <v>14.43</v>
      </c>
      <c r="AJ116"/>
      <c r="AK116" s="5"/>
    </row>
    <row r="117" spans="28:37" s="3" customFormat="1" ht="15" x14ac:dyDescent="0.25">
      <c r="AE117" s="9" t="s">
        <v>25</v>
      </c>
      <c r="AH117" s="3">
        <v>1000</v>
      </c>
      <c r="AI117" s="3">
        <v>14.17</v>
      </c>
      <c r="AJ117"/>
    </row>
    <row r="118" spans="28:37" s="3" customFormat="1" ht="15" x14ac:dyDescent="0.25">
      <c r="AH118" s="9">
        <v>1500</v>
      </c>
      <c r="AI118" s="3">
        <v>13.92</v>
      </c>
      <c r="AJ118"/>
    </row>
    <row r="119" spans="28:37" s="3" customFormat="1" x14ac:dyDescent="0.25">
      <c r="AH119" s="5">
        <v>2000</v>
      </c>
      <c r="AI119" s="3">
        <v>13.66</v>
      </c>
      <c r="AJ119"/>
    </row>
    <row r="120" spans="28:37" s="3" customFormat="1" ht="15" x14ac:dyDescent="0.25">
      <c r="AH120" s="3">
        <v>2500</v>
      </c>
      <c r="AI120" s="3">
        <v>13.42</v>
      </c>
      <c r="AJ120"/>
    </row>
    <row r="121" spans="28:37" s="3" customFormat="1" x14ac:dyDescent="0.25">
      <c r="AH121" s="9">
        <v>3000</v>
      </c>
      <c r="AI121" s="5">
        <v>13.17</v>
      </c>
      <c r="AJ121"/>
      <c r="AK121" s="5"/>
    </row>
    <row r="122" spans="28:37" s="3" customFormat="1" x14ac:dyDescent="0.25">
      <c r="AH122" s="5">
        <v>3500</v>
      </c>
      <c r="AI122" s="5">
        <v>12.93</v>
      </c>
      <c r="AJ122"/>
      <c r="AK122" s="5"/>
    </row>
    <row r="123" spans="28:37" s="3" customFormat="1" x14ac:dyDescent="0.25">
      <c r="AH123" s="3">
        <v>4000</v>
      </c>
      <c r="AI123" s="5">
        <v>12.69</v>
      </c>
      <c r="AJ123"/>
      <c r="AK123" s="5"/>
    </row>
    <row r="124" spans="28:37" s="3" customFormat="1" ht="15" x14ac:dyDescent="0.25">
      <c r="AH124" s="9">
        <v>4500</v>
      </c>
      <c r="AI124" s="3">
        <v>12.46</v>
      </c>
      <c r="AJ124"/>
    </row>
    <row r="125" spans="28:37" s="3" customFormat="1" x14ac:dyDescent="0.25">
      <c r="AH125" s="5">
        <v>5000</v>
      </c>
      <c r="AI125" s="3">
        <v>12.23</v>
      </c>
      <c r="AJ125"/>
    </row>
    <row r="126" spans="28:37" s="3" customFormat="1" ht="15" x14ac:dyDescent="0.25">
      <c r="AH126" s="3">
        <v>6000</v>
      </c>
      <c r="AI126" s="3">
        <v>11.78</v>
      </c>
      <c r="AJ126"/>
    </row>
    <row r="127" spans="28:37" s="3" customFormat="1" ht="15" x14ac:dyDescent="0.25">
      <c r="AH127" s="3">
        <v>7000</v>
      </c>
      <c r="AI127" s="3">
        <v>11.34</v>
      </c>
      <c r="AJ127"/>
    </row>
    <row r="128" spans="28:37" s="3" customFormat="1" ht="15" x14ac:dyDescent="0.25">
      <c r="AH128" s="3">
        <v>8000</v>
      </c>
      <c r="AI128" s="3">
        <v>10.92</v>
      </c>
      <c r="AJ128"/>
    </row>
    <row r="129" spans="34:37" s="3" customFormat="1" ht="15" x14ac:dyDescent="0.25">
      <c r="AH129" s="3">
        <v>9000</v>
      </c>
      <c r="AI129" s="3">
        <v>10.51</v>
      </c>
      <c r="AJ129"/>
    </row>
    <row r="130" spans="34:37" s="3" customFormat="1" ht="15" x14ac:dyDescent="0.25">
      <c r="AH130" s="3">
        <v>10000</v>
      </c>
      <c r="AI130" s="3">
        <v>10.11</v>
      </c>
      <c r="AJ130"/>
    </row>
    <row r="131" spans="34:37" s="3" customFormat="1" ht="15" x14ac:dyDescent="0.25">
      <c r="AH131" s="3">
        <v>15000</v>
      </c>
      <c r="AI131" s="3">
        <v>8.2899999999999991</v>
      </c>
      <c r="AJ131"/>
    </row>
    <row r="132" spans="34:37" s="3" customFormat="1" ht="15" x14ac:dyDescent="0.25">
      <c r="AH132" s="3">
        <v>20000</v>
      </c>
      <c r="AI132" s="3">
        <v>6.75</v>
      </c>
      <c r="AJ132"/>
    </row>
    <row r="133" spans="34:37" s="3" customFormat="1" ht="15" x14ac:dyDescent="0.25">
      <c r="AH133" s="3">
        <v>25000</v>
      </c>
      <c r="AI133" s="3">
        <v>5.45</v>
      </c>
      <c r="AJ133"/>
    </row>
    <row r="134" spans="34:37" s="3" customFormat="1" ht="15" x14ac:dyDescent="0.25">
      <c r="AH134" s="3">
        <v>30000</v>
      </c>
      <c r="AI134" s="3">
        <v>4.3600000000000003</v>
      </c>
      <c r="AJ134"/>
    </row>
    <row r="135" spans="34:37" s="3" customFormat="1" ht="15" x14ac:dyDescent="0.25">
      <c r="AH135" s="3">
        <v>35000</v>
      </c>
      <c r="AI135" s="3">
        <v>3.46</v>
      </c>
      <c r="AJ135"/>
    </row>
    <row r="136" spans="34:37" s="3" customFormat="1" ht="15" x14ac:dyDescent="0.25">
      <c r="AH136" s="3">
        <v>40000</v>
      </c>
      <c r="AI136" s="3">
        <v>2.72</v>
      </c>
      <c r="AJ136"/>
    </row>
    <row r="137" spans="34:37" s="3" customFormat="1" ht="15" x14ac:dyDescent="0.25">
      <c r="AH137" s="3">
        <v>45000</v>
      </c>
      <c r="AI137" s="9">
        <v>2.14</v>
      </c>
      <c r="AJ137"/>
      <c r="AK137" s="9"/>
    </row>
    <row r="138" spans="34:37" s="3" customFormat="1" x14ac:dyDescent="0.25">
      <c r="AH138" s="3">
        <v>50000</v>
      </c>
      <c r="AI138" s="5">
        <v>1.68</v>
      </c>
      <c r="AJ138"/>
      <c r="AK138" s="5"/>
    </row>
    <row r="139" spans="34:37" s="3" customFormat="1" ht="15" x14ac:dyDescent="0.25">
      <c r="AH139" s="3">
        <v>55000</v>
      </c>
      <c r="AI139" s="3">
        <v>1.32</v>
      </c>
      <c r="AJ139"/>
    </row>
    <row r="140" spans="34:37" s="3" customFormat="1" ht="15" x14ac:dyDescent="0.25">
      <c r="AH140" s="3">
        <v>60000</v>
      </c>
      <c r="AI140" s="3">
        <v>1.04</v>
      </c>
      <c r="AJ140"/>
    </row>
    <row r="141" spans="34:37" s="3" customFormat="1" ht="15" x14ac:dyDescent="0.25">
      <c r="AH141" s="3">
        <v>65000</v>
      </c>
      <c r="AI141" s="3">
        <v>0.82</v>
      </c>
      <c r="AJ141"/>
    </row>
    <row r="142" spans="34:37" s="3" customFormat="1" ht="15" x14ac:dyDescent="0.25"/>
    <row r="143" spans="34:37" s="3" customFormat="1" ht="15" x14ac:dyDescent="0.25"/>
    <row r="144" spans="34:37" s="3" customFormat="1" ht="15" x14ac:dyDescent="0.25"/>
    <row r="145" s="3" customFormat="1" ht="15" x14ac:dyDescent="0.25"/>
    <row r="146" s="3" customFormat="1" ht="15" x14ac:dyDescent="0.25"/>
    <row r="147" s="3" customFormat="1" ht="15" x14ac:dyDescent="0.25"/>
    <row r="148" s="3" customFormat="1" ht="15" x14ac:dyDescent="0.25"/>
    <row r="149" s="3" customFormat="1" ht="15" x14ac:dyDescent="0.25"/>
    <row r="150" s="3" customFormat="1" ht="15" x14ac:dyDescent="0.25"/>
    <row r="151" s="3" customFormat="1" ht="15" x14ac:dyDescent="0.25"/>
    <row r="152" s="3" customFormat="1" ht="15" x14ac:dyDescent="0.25"/>
    <row r="153" s="3" customFormat="1" ht="15" x14ac:dyDescent="0.25"/>
    <row r="154" s="3" customFormat="1" ht="15" x14ac:dyDescent="0.25"/>
    <row r="155" s="3" customFormat="1" ht="15" x14ac:dyDescent="0.25"/>
    <row r="156" s="3" customFormat="1" ht="15" x14ac:dyDescent="0.25"/>
    <row r="157" s="3" customFormat="1" ht="15" x14ac:dyDescent="0.25"/>
    <row r="158" s="3" customFormat="1" ht="15" x14ac:dyDescent="0.25"/>
    <row r="159" s="3" customFormat="1" ht="15" x14ac:dyDescent="0.25"/>
    <row r="160" s="3" customFormat="1" ht="15" x14ac:dyDescent="0.25"/>
    <row r="161" s="3" customFormat="1" ht="15" x14ac:dyDescent="0.25"/>
    <row r="162" s="3" customFormat="1" ht="15" x14ac:dyDescent="0.25"/>
    <row r="163" s="3" customFormat="1" ht="15" x14ac:dyDescent="0.25"/>
    <row r="164" s="3" customFormat="1" ht="15" x14ac:dyDescent="0.25"/>
    <row r="165" s="3" customFormat="1" ht="15" x14ac:dyDescent="0.25"/>
    <row r="166" s="3" customFormat="1" ht="15" x14ac:dyDescent="0.25"/>
    <row r="167" s="3" customFormat="1" ht="15" x14ac:dyDescent="0.25"/>
    <row r="168" s="3" customFormat="1" ht="15" x14ac:dyDescent="0.25"/>
    <row r="169" s="3" customFormat="1" ht="15" x14ac:dyDescent="0.25"/>
    <row r="170" s="3" customFormat="1" ht="15" x14ac:dyDescent="0.25"/>
    <row r="171" s="3" customFormat="1" ht="15" x14ac:dyDescent="0.25"/>
    <row r="172" s="3" customFormat="1" ht="15" x14ac:dyDescent="0.25"/>
    <row r="173" s="3" customFormat="1" ht="15" x14ac:dyDescent="0.25"/>
    <row r="174" s="3" customFormat="1" ht="15" x14ac:dyDescent="0.25"/>
    <row r="175" s="3" customFormat="1" ht="15" x14ac:dyDescent="0.25"/>
    <row r="176" s="3" customFormat="1" ht="15" x14ac:dyDescent="0.25"/>
    <row r="177" s="3" customFormat="1" ht="15" x14ac:dyDescent="0.25"/>
    <row r="178" s="3" customFormat="1" ht="15" x14ac:dyDescent="0.25"/>
    <row r="179" s="3" customFormat="1" ht="15" x14ac:dyDescent="0.25"/>
    <row r="180" s="3" customFormat="1" ht="15" x14ac:dyDescent="0.25"/>
    <row r="181" s="3" customFormat="1" ht="15" x14ac:dyDescent="0.25"/>
    <row r="182" s="3" customFormat="1" ht="15" x14ac:dyDescent="0.25"/>
    <row r="183" s="3" customFormat="1" ht="15" x14ac:dyDescent="0.25"/>
    <row r="184" s="3" customFormat="1" ht="15" x14ac:dyDescent="0.25"/>
    <row r="185" s="3" customFormat="1" ht="15" x14ac:dyDescent="0.25"/>
    <row r="186" s="3" customFormat="1" ht="15" x14ac:dyDescent="0.25"/>
    <row r="187" s="3" customFormat="1" ht="15" x14ac:dyDescent="0.25"/>
    <row r="188" s="3" customFormat="1" ht="15" x14ac:dyDescent="0.25"/>
    <row r="189" s="3" customFormat="1" ht="15" x14ac:dyDescent="0.25"/>
    <row r="190" s="3" customFormat="1" ht="15" x14ac:dyDescent="0.25"/>
    <row r="191" s="3" customFormat="1" ht="15" x14ac:dyDescent="0.25"/>
    <row r="192" s="3" customFormat="1" ht="15" x14ac:dyDescent="0.25"/>
    <row r="193" s="3" customFormat="1" ht="15" x14ac:dyDescent="0.25"/>
    <row r="194" s="3" customFormat="1" ht="15" x14ac:dyDescent="0.25"/>
    <row r="195" s="3" customFormat="1" ht="15" x14ac:dyDescent="0.25"/>
    <row r="196" s="3" customFormat="1" ht="15" x14ac:dyDescent="0.25"/>
    <row r="197" s="3" customFormat="1" ht="15" x14ac:dyDescent="0.25"/>
    <row r="198" s="3" customFormat="1" ht="15" x14ac:dyDescent="0.25"/>
    <row r="199" s="3" customFormat="1" ht="15" x14ac:dyDescent="0.25"/>
    <row r="200" s="3" customFormat="1" ht="15" x14ac:dyDescent="0.25"/>
    <row r="201" s="3" customFormat="1" ht="15" x14ac:dyDescent="0.25"/>
    <row r="202" s="3" customFormat="1" ht="15" x14ac:dyDescent="0.25"/>
    <row r="203" s="3" customFormat="1" ht="15" x14ac:dyDescent="0.25"/>
    <row r="204" s="3" customFormat="1" ht="15" x14ac:dyDescent="0.25"/>
    <row r="205" s="3" customFormat="1" ht="15" x14ac:dyDescent="0.25"/>
    <row r="206" s="3" customFormat="1" ht="15" x14ac:dyDescent="0.25"/>
    <row r="207" s="3" customFormat="1" ht="15" x14ac:dyDescent="0.25"/>
    <row r="208" s="3" customFormat="1" ht="15" x14ac:dyDescent="0.25"/>
    <row r="209" s="3" customFormat="1" ht="15" x14ac:dyDescent="0.25"/>
    <row r="210" s="3" customFormat="1" ht="15" x14ac:dyDescent="0.25"/>
    <row r="211" s="3" customFormat="1" ht="15" x14ac:dyDescent="0.25"/>
    <row r="212" s="3" customFormat="1" ht="15" x14ac:dyDescent="0.25"/>
    <row r="213" s="3" customFormat="1" ht="15" x14ac:dyDescent="0.25"/>
    <row r="214" s="3" customFormat="1" ht="15" x14ac:dyDescent="0.25"/>
    <row r="215" s="3" customFormat="1" ht="15" x14ac:dyDescent="0.25"/>
    <row r="216" s="3" customFormat="1" ht="15" x14ac:dyDescent="0.25"/>
    <row r="217" s="3" customFormat="1" ht="15" x14ac:dyDescent="0.25"/>
    <row r="218" s="3" customFormat="1" ht="15" x14ac:dyDescent="0.25"/>
    <row r="219" s="3" customFormat="1" ht="15" x14ac:dyDescent="0.25"/>
    <row r="220" s="3" customFormat="1" ht="15" x14ac:dyDescent="0.25"/>
    <row r="221" s="3" customFormat="1" ht="15" x14ac:dyDescent="0.25"/>
    <row r="222" s="3" customFormat="1" ht="15" x14ac:dyDescent="0.25"/>
    <row r="223" s="3" customFormat="1" ht="15" x14ac:dyDescent="0.25"/>
    <row r="224" s="3" customFormat="1" ht="15" x14ac:dyDescent="0.25"/>
    <row r="225" s="3" customFormat="1" ht="15" x14ac:dyDescent="0.25"/>
    <row r="226" s="3" customFormat="1" ht="15" x14ac:dyDescent="0.25"/>
    <row r="227" s="3" customFormat="1" ht="15" x14ac:dyDescent="0.25"/>
    <row r="228" s="3" customFormat="1" ht="15" x14ac:dyDescent="0.25"/>
    <row r="229" s="3" customFormat="1" ht="15" x14ac:dyDescent="0.25"/>
    <row r="230" s="3" customFormat="1" ht="15" x14ac:dyDescent="0.25"/>
    <row r="231" s="3" customFormat="1" ht="15" x14ac:dyDescent="0.25"/>
    <row r="232" s="3" customFormat="1" ht="15" x14ac:dyDescent="0.25"/>
    <row r="233" s="3" customFormat="1" ht="15" x14ac:dyDescent="0.25"/>
    <row r="234" s="3" customFormat="1" ht="15" x14ac:dyDescent="0.25"/>
    <row r="235" s="3" customFormat="1" ht="15" x14ac:dyDescent="0.25"/>
    <row r="236" s="3" customFormat="1" ht="15" x14ac:dyDescent="0.25"/>
    <row r="237" s="3" customFormat="1" ht="15" x14ac:dyDescent="0.25"/>
    <row r="238" s="3" customFormat="1" ht="15" x14ac:dyDescent="0.25"/>
    <row r="239" s="3" customFormat="1" ht="15" x14ac:dyDescent="0.25"/>
    <row r="240" s="3" customFormat="1" ht="15" x14ac:dyDescent="0.25"/>
    <row r="241" s="3" customFormat="1" ht="15" x14ac:dyDescent="0.25"/>
    <row r="242" s="3" customFormat="1" ht="15" x14ac:dyDescent="0.25"/>
    <row r="243" s="3" customFormat="1" ht="15" x14ac:dyDescent="0.25"/>
    <row r="244" s="3" customFormat="1" ht="15" x14ac:dyDescent="0.25"/>
    <row r="245" s="3" customFormat="1" ht="15" x14ac:dyDescent="0.25"/>
    <row r="246" s="3" customFormat="1" ht="15" x14ac:dyDescent="0.25"/>
    <row r="247" s="3" customFormat="1" ht="15" x14ac:dyDescent="0.25"/>
    <row r="248" s="3" customFormat="1" ht="15" x14ac:dyDescent="0.25"/>
    <row r="249" s="3" customFormat="1" ht="15" x14ac:dyDescent="0.25"/>
    <row r="250" s="3" customFormat="1" ht="15" x14ac:dyDescent="0.25"/>
    <row r="251" s="3" customFormat="1" ht="15" x14ac:dyDescent="0.25"/>
    <row r="252" s="3" customFormat="1" ht="15" x14ac:dyDescent="0.25"/>
    <row r="253" s="3" customFormat="1" ht="15" x14ac:dyDescent="0.25"/>
    <row r="254" s="3" customFormat="1" ht="15" x14ac:dyDescent="0.25"/>
    <row r="255" s="3" customFormat="1" ht="15" x14ac:dyDescent="0.25"/>
    <row r="256" s="3" customFormat="1" ht="15" x14ac:dyDescent="0.25"/>
    <row r="257" s="3" customFormat="1" ht="15" x14ac:dyDescent="0.25"/>
    <row r="258" s="3" customFormat="1" ht="15" x14ac:dyDescent="0.25"/>
    <row r="259" s="3" customFormat="1" ht="15" x14ac:dyDescent="0.25"/>
    <row r="260" s="3" customFormat="1" ht="15" x14ac:dyDescent="0.25"/>
    <row r="261" s="3" customFormat="1" ht="15" x14ac:dyDescent="0.25"/>
    <row r="262" s="3" customFormat="1" ht="15" x14ac:dyDescent="0.25"/>
    <row r="263" s="3" customFormat="1" ht="15" x14ac:dyDescent="0.25"/>
    <row r="264" s="3" customFormat="1" ht="15" x14ac:dyDescent="0.25"/>
    <row r="265" s="3" customFormat="1" ht="15" x14ac:dyDescent="0.25"/>
    <row r="266" s="3" customFormat="1" ht="15" x14ac:dyDescent="0.25"/>
    <row r="267" s="3" customFormat="1" ht="15" x14ac:dyDescent="0.25"/>
    <row r="268" s="3" customFormat="1" ht="15" x14ac:dyDescent="0.25"/>
    <row r="269" s="3" customFormat="1" ht="15" x14ac:dyDescent="0.25"/>
    <row r="270" s="3" customFormat="1" ht="15" x14ac:dyDescent="0.25"/>
    <row r="271" s="3" customFormat="1" ht="15" x14ac:dyDescent="0.25"/>
    <row r="272" s="3" customFormat="1" ht="15" x14ac:dyDescent="0.25"/>
    <row r="273" s="3" customFormat="1" ht="15" x14ac:dyDescent="0.25"/>
    <row r="274" s="3" customFormat="1" ht="15" x14ac:dyDescent="0.25"/>
    <row r="275" s="3" customFormat="1" ht="15" x14ac:dyDescent="0.25"/>
    <row r="276" s="3" customFormat="1" ht="15" x14ac:dyDescent="0.25"/>
    <row r="277" s="3" customFormat="1" ht="15" x14ac:dyDescent="0.25"/>
    <row r="278" s="3" customFormat="1" ht="15" x14ac:dyDescent="0.25"/>
    <row r="279" s="3" customFormat="1" ht="15" x14ac:dyDescent="0.25"/>
  </sheetData>
  <mergeCells count="5">
    <mergeCell ref="D1:F1"/>
    <mergeCell ref="H1:J1"/>
    <mergeCell ref="D11:K11"/>
    <mergeCell ref="D12:G12"/>
    <mergeCell ref="H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2023-01-06T00:11:11Z</dcterms:modified>
</cp:coreProperties>
</file>